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<sst xmlns="http://schemas.openxmlformats.org/spreadsheetml/2006/main" count="38" uniqueCount="37">
  <si>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Source</t>
  </si>
  <si>
    <t xml:space="preserve">Hex1</t>
  </si>
  <si>
    <t xml:space="preserve">Hex2</t>
  </si>
  <si>
    <t xml:space="preserve">Text</t>
  </si>
  <si>
    <t xml:space="preserve">(</t>
  </si>
  <si>
    <t xml:space="preserve">-</t>
  </si>
  <si>
    <t xml:space="preserve">)</t>
  </si>
  <si>
    <t xml:space="preserve">Val2</t>
  </si>
  <si>
    <t xml:space="preserve">nnum</t>
  </si>
  <si>
    <t xml:space="preserve">Txt</t>
  </si>
  <si>
    <t xml:space="preserve">Low</t>
  </si>
  <si>
    <t xml:space="preserve">Hi</t>
  </si>
  <si>
    <t xml:space="preserve">xT</t>
  </si>
  <si>
    <t xml:space="preserve">xLUV</t>
  </si>
  <si>
    <t xml:space="preserve">CodeHex</t>
  </si>
  <si>
    <t xml:space="preserve">Pmin</t>
  </si>
  <si>
    <t xml:space="preserve">Pmax</t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</si>
  <si>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0x01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"Large city (over 10M)"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g_hcurCityMega,</t>
    </r>
    <r>
      <rPr>
        <sz val="11"/>
        <color rgb="FFBBBBBB"/>
        <rFont val="Courier New"/>
        <family val="3"/>
        <charset val="1"/>
      </rPr>
      <t xml:space="preserve">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g_BigCityLabel},</t>
    </r>
  </si>
  <si>
    <t xml:space="preserve">M</t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</si>
  <si>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0x02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"Large city (5-10M)"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g_hcurCityMega,</t>
    </r>
    <r>
      <rPr>
        <sz val="11"/>
        <color rgb="FFBBBBBB"/>
        <rFont val="Courier New"/>
        <family val="3"/>
        <charset val="1"/>
      </rPr>
      <t xml:space="preserve">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g_BigCityLabel},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</si>
  <si>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0x03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"Large city (2-5M)"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g_hcurCityBig,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g_BigCityLabel},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</si>
  <si>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0x04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"Large city (1-2M)"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g_hcurCityMedium,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g_CityLabel},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</si>
  <si>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0x05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"Medium city (0.5-1M)"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g_hcurCityMedium,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g_CityLabel},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</si>
  <si>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0x06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"Medium city (200-500K)"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g_hcurCityMedium,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g_CityLabel},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</si>
  <si>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0x07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"Medium city (100-200K)"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g_hcurCitySmall},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</si>
  <si>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0x08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"Small city (50-100K)"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g_hcurCitySmall},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</si>
  <si>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0x09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"Small city (20-50K)"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g_hcurCitySmall},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</si>
  <si>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0x0a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"Small city/town (10-20K)"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g_hcurSettlement},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</si>
  <si>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0x0b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"Small city/town (5-10K)"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g_hcurSettlement},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</si>
  <si>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0x0c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(2-5K)"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g_hcurSettlement},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</si>
  <si>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0x0d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(1-2K)"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g_hcurSettlement},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</si>
  <si>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0x0e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(500-1K)"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g_hcurNamedpoint},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</si>
  <si>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0x0f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(200-500)"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g_hcurNamedpoint},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</si>
  <si>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0x10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(100-200)"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g_hcurNamedpoint},</t>
    </r>
  </si>
  <si>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555555"/>
        <rFont val="Courier New"/>
        <family val="3"/>
        <charset val="1"/>
      </rPr>
      <t xml:space="preserve">{</t>
    </r>
    <r>
      <rPr>
        <sz val="11"/>
        <color rgb="FF666666"/>
        <rFont val="Courier New"/>
        <family val="3"/>
        <charset val="1"/>
      </rPr>
      <t xml:space="preserve">0x11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0x00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666666"/>
        <rFont val="Courier New"/>
        <family val="3"/>
        <charset val="1"/>
      </rPr>
      <t xml:space="preserve">0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</t>
    </r>
    <r>
      <rPr>
        <sz val="11"/>
        <color rgb="FF555555"/>
        <rFont val="Courier New"/>
        <family val="3"/>
        <charset val="1"/>
      </rPr>
      <t xml:space="preserve">catCities,</t>
    </r>
    <r>
      <rPr>
        <sz val="11"/>
        <color rgb="FFBBBBBB"/>
        <rFont val="Courier New"/>
        <family val="3"/>
        <charset val="1"/>
      </rPr>
      <t xml:space="preserve">        </t>
    </r>
    <r>
      <rPr>
        <sz val="11"/>
        <color rgb="FFBA2121"/>
        <rFont val="Courier New"/>
        <family val="3"/>
        <charset val="1"/>
      </rPr>
      <t xml:space="preserve">"Settlement (less 100)"</t>
    </r>
    <r>
      <rPr>
        <sz val="11"/>
        <color rgb="FF555555"/>
        <rFont val="Courier New"/>
        <family val="3"/>
        <charset val="1"/>
      </rPr>
      <t xml:space="preserve">,</t>
    </r>
    <r>
      <rPr>
        <sz val="11"/>
        <color rgb="FFBBBBBB"/>
        <rFont val="Courier New"/>
        <family val="3"/>
        <charset val="1"/>
      </rPr>
      <t xml:space="preserve">          </t>
    </r>
    <r>
      <rPr>
        <sz val="11"/>
        <color rgb="FF666666"/>
        <rFont val="Courier New"/>
        <family val="3"/>
        <charset val="1"/>
      </rPr>
      <t xml:space="preserve">&amp;</t>
    </r>
    <r>
      <rPr>
        <sz val="11"/>
        <color rgb="FFBBBBBB"/>
        <rFont val="Courier New"/>
        <family val="3"/>
        <charset val="1"/>
      </rPr>
      <t xml:space="preserve"> </t>
    </r>
    <r>
      <rPr>
        <sz val="11"/>
        <color rgb="FF555555"/>
        <rFont val="Courier New"/>
        <family val="3"/>
        <charset val="1"/>
      </rPr>
      <t xml:space="preserve">g_hcurNamedpoint},</t>
    </r>
  </si>
  <si>
    <t xml:space="preserve">https://sourceforge.net/p/gpsmapedit-pp/code/HEAD/tree/branches/GPSMapEdit/GarminTypes.cpp</t>
  </si>
  <si>
    <t xml:space="preserve">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</si>
</sst>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BBBBBB"/>
      <name val="Courier New"/>
      <family val="3"/>
      <charset val="1"/>
    </font>
    <font>
      <sz val="11"/>
      <color rgb="FF555555"/>
      <name val="Courier New"/>
      <family val="3"/>
      <charset val="1"/>
    </font>
    <font>
      <sz val="11"/>
      <color rgb="FF666666"/>
      <name val="Courier New"/>
      <family val="3"/>
      <charset val="1"/>
    </font>
    <font>
      <sz val="11"/>
      <color rgb="FFBA2121"/>
      <name val="Courier New"/>
      <family val="3"/>
      <charset val="1"/>
    </font>
    <font>
      <sz val="10"/>
      <color rgb="FF0C0D0E"/>
      <name val="Var(--ff-mono)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C0D0E"/>
      <rgbColor rgb="FF333300"/>
      <rgbColor rgb="FFBA2121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96.57"/>
    <col collapsed="false" customWidth="true" hidden="false" outlineLevel="0" max="2" min="2" style="0" width="4.85"/>
    <col collapsed="false" customWidth="true" hidden="false" outlineLevel="0" max="3" min="3" style="0" width="7"/>
    <col collapsed="false" customWidth="true" hidden="false" outlineLevel="0" max="4" min="4" style="0" width="25.71"/>
    <col collapsed="false" customWidth="true" hidden="false" outlineLevel="0" max="5" min="5" style="0" width="3"/>
    <col collapsed="false" customWidth="true" hidden="false" outlineLevel="0" max="6" min="6" style="0" width="3.57"/>
    <col collapsed="false" customWidth="true" hidden="false" outlineLevel="0" max="7" min="7" style="0" width="4.28"/>
    <col collapsed="false" customWidth="true" hidden="false" outlineLevel="0" max="8" min="8" style="0" width="8.13"/>
    <col collapsed="false" customWidth="true" hidden="false" outlineLevel="0" max="9" min="9" style="0" width="10.94"/>
    <col collapsed="false" customWidth="true" hidden="false" outlineLevel="0" max="10" min="10" style="0" width="14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1" t="s">
        <v>17</v>
      </c>
      <c r="B2" s="0" t="str">
        <f aca="false">MID($A2,10,4)</f>
        <v>0x01</v>
      </c>
      <c r="C2" s="0" t="str">
        <f aca="false">MID($A2,16,4)</f>
        <v>0x00</v>
      </c>
      <c r="D2" s="0" t="str">
        <f aca="false">MID($A2,47,30)</f>
        <v>Large city (over 10M)",       </v>
      </c>
      <c r="E2" s="0" t="n">
        <f aca="false">FIND("(",$D2)</f>
        <v>12</v>
      </c>
      <c r="F2" s="0" t="e">
        <f aca="false">FIND("-",$D2,$E2)</f>
        <v>#VALUE!</v>
      </c>
      <c r="G2" s="0" t="n">
        <f aca="false">FIND(")",$D2,E2)</f>
        <v>21</v>
      </c>
      <c r="H2" s="0" t="e">
        <f aca="false">MID(D2,F2+1,G2-F2-1)</f>
        <v>#VALUE!</v>
      </c>
      <c r="I2" s="2" t="e">
        <f aca="true" t="array" ref="I2:I2">MATCH(TRUE(),ISERROR(VALUE(MID($H2,ROW(INDIRECT("1:"&amp;LEN($H2))),1))),0)</f>
        <v>#VALUE!</v>
      </c>
      <c r="J2" s="0" t="str">
        <f aca="false">LEFT(D2,E2-2)</f>
        <v>Large city</v>
      </c>
      <c r="K2" s="3" t="n">
        <v>10</v>
      </c>
      <c r="L2" s="3" t="n">
        <v>99</v>
      </c>
      <c r="M2" s="3" t="s">
        <v>18</v>
      </c>
      <c r="N2" s="0" t="n">
        <f aca="false">VLOOKUP(M2,$I$20:$J$22,2)</f>
        <v>1000000</v>
      </c>
      <c r="O2" s="0" t="str">
        <f aca="false">SUBSTITUTE(B2,"0x0","0x")&amp;"00"</f>
        <v>0x100</v>
      </c>
      <c r="P2" s="0" t="n">
        <f aca="false">K2*$N2</f>
        <v>10000000</v>
      </c>
      <c r="Q2" s="0" t="n">
        <f aca="false">L2*$N2</f>
        <v>99000000</v>
      </c>
    </row>
    <row r="3" customFormat="false" ht="15" hidden="false" customHeight="false" outlineLevel="0" collapsed="false">
      <c r="A3" s="1" t="s">
        <v>19</v>
      </c>
      <c r="B3" s="0" t="str">
        <f aca="false">MID($A3,10,4)</f>
        <v>0x02</v>
      </c>
      <c r="C3" s="0" t="str">
        <f aca="false">MID($A3,16,4)</f>
        <v>0x00</v>
      </c>
      <c r="D3" s="0" t="str">
        <f aca="false">MID($A3,47,30)</f>
        <v>Large city (5-10M)",          </v>
      </c>
      <c r="E3" s="0" t="n">
        <f aca="false">FIND("(",$D3)</f>
        <v>12</v>
      </c>
      <c r="F3" s="0" t="n">
        <f aca="false">FIND("-",$D3,$E3)</f>
        <v>14</v>
      </c>
      <c r="G3" s="0" t="n">
        <f aca="false">FIND(")",$D3,E3)</f>
        <v>18</v>
      </c>
      <c r="H3" s="0" t="str">
        <f aca="false">MID(D3,F3+1,G3-F3-1)</f>
        <v>10M</v>
      </c>
      <c r="I3" s="2" t="n">
        <f aca="true" t="array" ref="I3:I3">MATCH(TRUE(),ISERROR(VALUE(MID($H3,ROW(INDIRECT("1:"&amp;LEN($H3))),1))),0)</f>
        <v>3</v>
      </c>
      <c r="J3" s="0" t="str">
        <f aca="false">LEFT(D3,E3-2)</f>
        <v>Large city</v>
      </c>
      <c r="K3" s="0" t="n">
        <f aca="false">VALUE(MID(D3,E3+1,F3-E3-1))</f>
        <v>5</v>
      </c>
      <c r="L3" s="0" t="n">
        <f aca="false">VALUE(LEFT(H3,I3-1))</f>
        <v>10</v>
      </c>
      <c r="M3" s="0" t="str">
        <f aca="false">MID(H3,I3,1)</f>
        <v>M</v>
      </c>
      <c r="N3" s="0" t="n">
        <f aca="false">VLOOKUP(M3,$I$20:$J$22,2)</f>
        <v>1000000</v>
      </c>
      <c r="O3" s="0" t="str">
        <f aca="false">SUBSTITUTE(B3,"0x0","0x")&amp;"00"</f>
        <v>0x200</v>
      </c>
      <c r="P3" s="0" t="n">
        <f aca="false">K3*$N3</f>
        <v>5000000</v>
      </c>
      <c r="Q3" s="0" t="n">
        <f aca="false">L3*$N3</f>
        <v>10000000</v>
      </c>
    </row>
    <row r="4" customFormat="false" ht="15" hidden="false" customHeight="false" outlineLevel="0" collapsed="false">
      <c r="A4" s="1" t="s">
        <v>20</v>
      </c>
      <c r="B4" s="0" t="str">
        <f aca="false">MID($A4,10,4)</f>
        <v>0x03</v>
      </c>
      <c r="C4" s="0" t="str">
        <f aca="false">MID($A4,16,4)</f>
        <v>0x00</v>
      </c>
      <c r="D4" s="0" t="str">
        <f aca="false">MID($A4,47,30)</f>
        <v>Large city (2-5M)",           </v>
      </c>
      <c r="E4" s="0" t="n">
        <f aca="false">FIND("(",$D4)</f>
        <v>12</v>
      </c>
      <c r="F4" s="0" t="n">
        <f aca="false">FIND("-",$D4,$E4)</f>
        <v>14</v>
      </c>
      <c r="G4" s="0" t="n">
        <f aca="false">FIND(")",$D4,E4)</f>
        <v>17</v>
      </c>
      <c r="H4" s="0" t="str">
        <f aca="false">MID(D4,F4+1,G4-F4-1)</f>
        <v>5M</v>
      </c>
      <c r="I4" s="2" t="n">
        <f aca="true" t="array" ref="I4:I4">MATCH(TRUE(),ISERROR(VALUE(MID($H4,ROW(INDIRECT("1:"&amp;LEN($H4))),1))),0)</f>
        <v>2</v>
      </c>
      <c r="J4" s="0" t="str">
        <f aca="false">LEFT(D4,E4-2)</f>
        <v>Large city</v>
      </c>
      <c r="K4" s="0" t="n">
        <f aca="false">VALUE(MID(D4,E4+1,F4-E4-1))</f>
        <v>2</v>
      </c>
      <c r="L4" s="0" t="n">
        <f aca="false">VALUE(LEFT(H4,I4-1))</f>
        <v>5</v>
      </c>
      <c r="M4" s="0" t="str">
        <f aca="false">MID(H4,I4,1)</f>
        <v>M</v>
      </c>
      <c r="N4" s="0" t="n">
        <f aca="false">VLOOKUP(M4,$I$20:$J$22,2)</f>
        <v>1000000</v>
      </c>
      <c r="O4" s="0" t="str">
        <f aca="false">SUBSTITUTE(B4,"0x0","0x")&amp;"00"</f>
        <v>0x300</v>
      </c>
      <c r="P4" s="0" t="n">
        <f aca="false">K4*$N4</f>
        <v>2000000</v>
      </c>
      <c r="Q4" s="0" t="n">
        <f aca="false">L4*$N4</f>
        <v>5000000</v>
      </c>
    </row>
    <row r="5" customFormat="false" ht="15" hidden="false" customHeight="false" outlineLevel="0" collapsed="false">
      <c r="A5" s="1" t="s">
        <v>21</v>
      </c>
      <c r="B5" s="0" t="str">
        <f aca="false">MID($A5,10,4)</f>
        <v>0x04</v>
      </c>
      <c r="C5" s="0" t="str">
        <f aca="false">MID($A5,16,4)</f>
        <v>0x00</v>
      </c>
      <c r="D5" s="0" t="str">
        <f aca="false">MID($A5,47,30)</f>
        <v>Large city (1-2M)",           </v>
      </c>
      <c r="E5" s="0" t="n">
        <f aca="false">FIND("(",$D5)</f>
        <v>12</v>
      </c>
      <c r="F5" s="0" t="n">
        <f aca="false">FIND("-",$D5,$E5)</f>
        <v>14</v>
      </c>
      <c r="G5" s="0" t="n">
        <f aca="false">FIND(")",$D5,E5)</f>
        <v>17</v>
      </c>
      <c r="H5" s="0" t="str">
        <f aca="false">MID(D5,F5+1,G5-F5-1)</f>
        <v>2M</v>
      </c>
      <c r="I5" s="2" t="n">
        <f aca="true" t="array" ref="I5:I5">MATCH(TRUE(),ISERROR(VALUE(MID($H5,ROW(INDIRECT("1:"&amp;LEN($H5))),1))),0)</f>
        <v>2</v>
      </c>
      <c r="J5" s="0" t="str">
        <f aca="false">LEFT(D5,E5-2)</f>
        <v>Large city</v>
      </c>
      <c r="K5" s="0" t="n">
        <f aca="false">VALUE(MID(D5,E5+1,F5-E5-1))</f>
        <v>1</v>
      </c>
      <c r="L5" s="0" t="n">
        <f aca="false">VALUE(LEFT(H5,I5-1))</f>
        <v>2</v>
      </c>
      <c r="M5" s="0" t="str">
        <f aca="false">MID(H5,I5,1)</f>
        <v>M</v>
      </c>
      <c r="N5" s="0" t="n">
        <f aca="false">VLOOKUP(M5,$I$20:$J$22,2)</f>
        <v>1000000</v>
      </c>
      <c r="O5" s="0" t="str">
        <f aca="false">SUBSTITUTE(B5,"0x0","0x")&amp;"00"</f>
        <v>0x400</v>
      </c>
      <c r="P5" s="0" t="n">
        <f aca="false">K5*$N5</f>
        <v>1000000</v>
      </c>
      <c r="Q5" s="0" t="n">
        <f aca="false">L5*$N5</f>
        <v>2000000</v>
      </c>
    </row>
    <row r="6" customFormat="false" ht="15" hidden="false" customHeight="false" outlineLevel="0" collapsed="false">
      <c r="A6" s="1" t="s">
        <v>22</v>
      </c>
      <c r="B6" s="0" t="str">
        <f aca="false">MID($A6,10,4)</f>
        <v>0x05</v>
      </c>
      <c r="C6" s="0" t="str">
        <f aca="false">MID($A6,16,4)</f>
        <v>0x00</v>
      </c>
      <c r="D6" s="0" t="str">
        <f aca="false">MID($A6,47,30)</f>
        <v>Medium city (0.5-1M)",        </v>
      </c>
      <c r="E6" s="0" t="n">
        <f aca="false">FIND("(",$D6)</f>
        <v>13</v>
      </c>
      <c r="F6" s="0" t="n">
        <f aca="false">FIND("-",$D6,$E6)</f>
        <v>17</v>
      </c>
      <c r="G6" s="0" t="n">
        <f aca="false">FIND(")",$D6,E6)</f>
        <v>20</v>
      </c>
      <c r="H6" s="0" t="str">
        <f aca="false">MID(D6,F6+1,G6-F6-1)</f>
        <v>1M</v>
      </c>
      <c r="I6" s="2" t="n">
        <f aca="true" t="array" ref="I6:I6">MATCH(TRUE(),ISERROR(VALUE(MID($H6,ROW(INDIRECT("1:"&amp;LEN($H6))),1))),0)</f>
        <v>2</v>
      </c>
      <c r="J6" s="0" t="str">
        <f aca="false">LEFT(D6,E6-2)</f>
        <v>Medium city</v>
      </c>
      <c r="K6" s="0" t="n">
        <f aca="false">VALUE(MID(D6,E6+1,F6-E6-1))</f>
        <v>0.5</v>
      </c>
      <c r="L6" s="0" t="n">
        <f aca="false">VALUE(LEFT(H6,I6-1))</f>
        <v>1</v>
      </c>
      <c r="M6" s="0" t="str">
        <f aca="false">MID(H6,I6,1)</f>
        <v>M</v>
      </c>
      <c r="N6" s="0" t="n">
        <f aca="false">VLOOKUP(M6,$I$20:$J$22,2)</f>
        <v>1000000</v>
      </c>
      <c r="O6" s="0" t="str">
        <f aca="false">SUBSTITUTE(B6,"0x0","0x")&amp;"00"</f>
        <v>0x500</v>
      </c>
      <c r="P6" s="0" t="n">
        <f aca="false">K6*$N6</f>
        <v>500000</v>
      </c>
      <c r="Q6" s="0" t="n">
        <f aca="false">L6*$N6</f>
        <v>1000000</v>
      </c>
    </row>
    <row r="7" customFormat="false" ht="15" hidden="false" customHeight="false" outlineLevel="0" collapsed="false">
      <c r="A7" s="1" t="s">
        <v>23</v>
      </c>
      <c r="B7" s="0" t="str">
        <f aca="false">MID($A7,10,4)</f>
        <v>0x06</v>
      </c>
      <c r="C7" s="0" t="str">
        <f aca="false">MID($A7,16,4)</f>
        <v>0x00</v>
      </c>
      <c r="D7" s="0" t="str">
        <f aca="false">MID($A7,47,30)</f>
        <v>Medium city (200-500K)",      </v>
      </c>
      <c r="E7" s="0" t="n">
        <f aca="false">FIND("(",$D7)</f>
        <v>13</v>
      </c>
      <c r="F7" s="0" t="n">
        <f aca="false">FIND("-",$D7,$E7)</f>
        <v>17</v>
      </c>
      <c r="G7" s="0" t="n">
        <f aca="false">FIND(")",$D7,E7)</f>
        <v>22</v>
      </c>
      <c r="H7" s="0" t="str">
        <f aca="false">MID(D7,F7+1,G7-F7-1)</f>
        <v>500K</v>
      </c>
      <c r="I7" s="2" t="n">
        <f aca="true" t="array" ref="I7:I7">MATCH(TRUE(),ISERROR(VALUE(MID($H7,ROW(INDIRECT("1:"&amp;LEN($H7))),1))),0)</f>
        <v>4</v>
      </c>
      <c r="J7" s="0" t="str">
        <f aca="false">LEFT(D7,E7-2)</f>
        <v>Medium city</v>
      </c>
      <c r="K7" s="0" t="n">
        <f aca="false">VALUE(MID(D7,E7+1,F7-E7-1))</f>
        <v>200</v>
      </c>
      <c r="L7" s="0" t="n">
        <f aca="false">VALUE(LEFT(H7,I7-1))</f>
        <v>500</v>
      </c>
      <c r="M7" s="0" t="str">
        <f aca="false">MID(H7,I7,1)</f>
        <v>K</v>
      </c>
      <c r="N7" s="0" t="n">
        <f aca="false">VLOOKUP(M7,$I$20:$J$22,2)</f>
        <v>1000</v>
      </c>
      <c r="O7" s="0" t="str">
        <f aca="false">SUBSTITUTE(B7,"0x0","0x")&amp;"00"</f>
        <v>0x600</v>
      </c>
      <c r="P7" s="0" t="n">
        <f aca="false">K7*$N7</f>
        <v>200000</v>
      </c>
      <c r="Q7" s="0" t="n">
        <f aca="false">L7*$N7</f>
        <v>500000</v>
      </c>
    </row>
    <row r="8" customFormat="false" ht="15" hidden="false" customHeight="false" outlineLevel="0" collapsed="false">
      <c r="A8" s="1" t="s">
        <v>24</v>
      </c>
      <c r="B8" s="0" t="str">
        <f aca="false">MID($A8,10,4)</f>
        <v>0x07</v>
      </c>
      <c r="C8" s="0" t="str">
        <f aca="false">MID($A8,16,4)</f>
        <v>0x00</v>
      </c>
      <c r="D8" s="0" t="str">
        <f aca="false">MID($A8,47,30)</f>
        <v>Medium city (100-200K)",      </v>
      </c>
      <c r="E8" s="0" t="n">
        <f aca="false">FIND("(",$D8)</f>
        <v>13</v>
      </c>
      <c r="F8" s="0" t="n">
        <f aca="false">FIND("-",$D8,$E8)</f>
        <v>17</v>
      </c>
      <c r="G8" s="0" t="n">
        <f aca="false">FIND(")",$D8,E8)</f>
        <v>22</v>
      </c>
      <c r="H8" s="0" t="str">
        <f aca="false">MID(D8,F8+1,G8-F8-1)</f>
        <v>200K</v>
      </c>
      <c r="I8" s="2" t="n">
        <f aca="true" t="array" ref="I8:I8">MATCH(TRUE(),ISERROR(VALUE(MID($H8,ROW(INDIRECT("1:"&amp;LEN($H8))),1))),0)</f>
        <v>4</v>
      </c>
      <c r="J8" s="0" t="str">
        <f aca="false">LEFT(D8,E8-2)</f>
        <v>Medium city</v>
      </c>
      <c r="K8" s="0" t="n">
        <f aca="false">VALUE(MID(D8,E8+1,F8-E8-1))</f>
        <v>100</v>
      </c>
      <c r="L8" s="0" t="n">
        <f aca="false">VALUE(LEFT(H8,I8-1))</f>
        <v>200</v>
      </c>
      <c r="M8" s="0" t="str">
        <f aca="false">MID(H8,I8,1)</f>
        <v>K</v>
      </c>
      <c r="N8" s="0" t="n">
        <f aca="false">VLOOKUP(M8,$I$20:$J$22,2)</f>
        <v>1000</v>
      </c>
      <c r="O8" s="0" t="str">
        <f aca="false">SUBSTITUTE(B8,"0x0","0x")&amp;"00"</f>
        <v>0x700</v>
      </c>
      <c r="P8" s="0" t="n">
        <f aca="false">K8*$N8</f>
        <v>100000</v>
      </c>
      <c r="Q8" s="0" t="n">
        <f aca="false">L8*$N8</f>
        <v>200000</v>
      </c>
    </row>
    <row r="9" customFormat="false" ht="15" hidden="false" customHeight="false" outlineLevel="0" collapsed="false">
      <c r="A9" s="1" t="s">
        <v>25</v>
      </c>
      <c r="B9" s="0" t="str">
        <f aca="false">MID($A9,10,4)</f>
        <v>0x08</v>
      </c>
      <c r="C9" s="0" t="str">
        <f aca="false">MID($A9,16,4)</f>
        <v>0x00</v>
      </c>
      <c r="D9" s="0" t="str">
        <f aca="false">MID($A9,47,30)</f>
        <v>Small city (50-100K)",        </v>
      </c>
      <c r="E9" s="0" t="n">
        <f aca="false">FIND("(",$D9)</f>
        <v>12</v>
      </c>
      <c r="F9" s="0" t="n">
        <f aca="false">FIND("-",$D9,$E9)</f>
        <v>15</v>
      </c>
      <c r="G9" s="0" t="n">
        <f aca="false">FIND(")",$D9,E9)</f>
        <v>20</v>
      </c>
      <c r="H9" s="0" t="str">
        <f aca="false">MID(D9,F9+1,G9-F9-1)</f>
        <v>100K</v>
      </c>
      <c r="I9" s="2" t="n">
        <f aca="true" t="array" ref="I9:I9">MATCH(TRUE(),ISERROR(VALUE(MID($H9,ROW(INDIRECT("1:"&amp;LEN($H9))),1))),0)</f>
        <v>4</v>
      </c>
      <c r="J9" s="0" t="str">
        <f aca="false">LEFT(D9,E9-2)</f>
        <v>Small city</v>
      </c>
      <c r="K9" s="0" t="n">
        <f aca="false">VALUE(MID(D9,E9+1,F9-E9-1))</f>
        <v>50</v>
      </c>
      <c r="L9" s="0" t="n">
        <f aca="false">VALUE(LEFT(H9,I9-1))</f>
        <v>100</v>
      </c>
      <c r="M9" s="0" t="str">
        <f aca="false">MID(H9,I9,1)</f>
        <v>K</v>
      </c>
      <c r="N9" s="0" t="n">
        <f aca="false">VLOOKUP(M9,$I$20:$J$22,2)</f>
        <v>1000</v>
      </c>
      <c r="O9" s="0" t="str">
        <f aca="false">SUBSTITUTE(B9,"0x0","0x")&amp;"00"</f>
        <v>0x800</v>
      </c>
      <c r="P9" s="0" t="n">
        <f aca="false">K9*$N9</f>
        <v>50000</v>
      </c>
      <c r="Q9" s="0" t="n">
        <f aca="false">L9*$N9</f>
        <v>100000</v>
      </c>
    </row>
    <row r="10" customFormat="false" ht="15" hidden="false" customHeight="false" outlineLevel="0" collapsed="false">
      <c r="A10" s="1" t="s">
        <v>26</v>
      </c>
      <c r="B10" s="0" t="str">
        <f aca="false">MID($A10,10,4)</f>
        <v>0x09</v>
      </c>
      <c r="C10" s="0" t="str">
        <f aca="false">MID($A10,16,4)</f>
        <v>0x00</v>
      </c>
      <c r="D10" s="0" t="str">
        <f aca="false">MID($A10,47,30)</f>
        <v>Small city (20-50K)",         </v>
      </c>
      <c r="E10" s="0" t="n">
        <f aca="false">FIND("(",$D10)</f>
        <v>12</v>
      </c>
      <c r="F10" s="0" t="n">
        <f aca="false">FIND("-",$D10,$E10)</f>
        <v>15</v>
      </c>
      <c r="G10" s="0" t="n">
        <f aca="false">FIND(")",$D10,E10)</f>
        <v>19</v>
      </c>
      <c r="H10" s="0" t="str">
        <f aca="false">MID(D10,F10+1,G10-F10-1)</f>
        <v>50K</v>
      </c>
      <c r="I10" s="2" t="n">
        <f aca="true" t="array" ref="I10:I10">MATCH(TRUE(),ISERROR(VALUE(MID($H10,ROW(INDIRECT("1:"&amp;LEN($H10))),1))),0)</f>
        <v>3</v>
      </c>
      <c r="J10" s="0" t="str">
        <f aca="false">LEFT(D10,E10-2)</f>
        <v>Small city</v>
      </c>
      <c r="K10" s="0" t="n">
        <f aca="false">VALUE(MID(D10,E10+1,F10-E10-1))</f>
        <v>20</v>
      </c>
      <c r="L10" s="0" t="n">
        <f aca="false">VALUE(LEFT(H10,I10-1))</f>
        <v>50</v>
      </c>
      <c r="M10" s="0" t="str">
        <f aca="false">MID(H10,I10,1)</f>
        <v>K</v>
      </c>
      <c r="N10" s="0" t="n">
        <f aca="false">VLOOKUP(M10,$I$20:$J$22,2)</f>
        <v>1000</v>
      </c>
      <c r="O10" s="0" t="str">
        <f aca="false">SUBSTITUTE(B10,"0x0","0x")&amp;"00"</f>
        <v>0x900</v>
      </c>
      <c r="P10" s="0" t="n">
        <f aca="false">K10*$N10</f>
        <v>20000</v>
      </c>
      <c r="Q10" s="0" t="n">
        <f aca="false">L10*$N10</f>
        <v>50000</v>
      </c>
    </row>
    <row r="11" customFormat="false" ht="15" hidden="false" customHeight="false" outlineLevel="0" collapsed="false">
      <c r="A11" s="1" t="s">
        <v>27</v>
      </c>
      <c r="B11" s="0" t="str">
        <f aca="false">MID($A11,10,4)</f>
        <v>0x0a</v>
      </c>
      <c r="C11" s="0" t="str">
        <f aca="false">MID($A11,16,4)</f>
        <v>0x00</v>
      </c>
      <c r="D11" s="0" t="str">
        <f aca="false">MID($A11,47,30)</f>
        <v>Small city/town (10-20K)",    </v>
      </c>
      <c r="E11" s="0" t="n">
        <f aca="false">FIND("(",$D11)</f>
        <v>17</v>
      </c>
      <c r="F11" s="0" t="n">
        <f aca="false">FIND("-",$D11,$E11)</f>
        <v>20</v>
      </c>
      <c r="G11" s="0" t="n">
        <f aca="false">FIND(")",$D11,E11)</f>
        <v>24</v>
      </c>
      <c r="H11" s="0" t="str">
        <f aca="false">MID(D11,F11+1,G11-F11-1)</f>
        <v>20K</v>
      </c>
      <c r="I11" s="2" t="n">
        <f aca="true" t="array" ref="I11:I11">MATCH(TRUE(),ISERROR(VALUE(MID($H11,ROW(INDIRECT("1:"&amp;LEN($H11))),1))),0)</f>
        <v>3</v>
      </c>
      <c r="J11" s="0" t="str">
        <f aca="false">LEFT(D11,E11-2)</f>
        <v>Small city/town</v>
      </c>
      <c r="K11" s="0" t="n">
        <f aca="false">VALUE(MID(D11,E11+1,F11-E11-1))</f>
        <v>10</v>
      </c>
      <c r="L11" s="0" t="n">
        <f aca="false">VALUE(LEFT(H11,I11-1))</f>
        <v>20</v>
      </c>
      <c r="M11" s="0" t="str">
        <f aca="false">MID(H11,I11,1)</f>
        <v>K</v>
      </c>
      <c r="N11" s="0" t="n">
        <f aca="false">VLOOKUP(M11,$I$20:$J$22,2)</f>
        <v>1000</v>
      </c>
      <c r="O11" s="0" t="str">
        <f aca="false">SUBSTITUTE(B11,"0x0","0x")&amp;"00"</f>
        <v>0xa00</v>
      </c>
      <c r="P11" s="0" t="n">
        <f aca="false">K11*$N11</f>
        <v>10000</v>
      </c>
      <c r="Q11" s="0" t="n">
        <f aca="false">L11*$N11</f>
        <v>20000</v>
      </c>
    </row>
    <row r="12" customFormat="false" ht="15" hidden="false" customHeight="false" outlineLevel="0" collapsed="false">
      <c r="A12" s="1" t="s">
        <v>28</v>
      </c>
      <c r="B12" s="0" t="str">
        <f aca="false">MID($A12,10,4)</f>
        <v>0x0b</v>
      </c>
      <c r="C12" s="0" t="str">
        <f aca="false">MID($A12,16,4)</f>
        <v>0x00</v>
      </c>
      <c r="D12" s="0" t="str">
        <f aca="false">MID($A12,47,30)</f>
        <v>Small city/town (5-10K)",     </v>
      </c>
      <c r="E12" s="0" t="n">
        <f aca="false">FIND("(",$D12)</f>
        <v>17</v>
      </c>
      <c r="F12" s="0" t="n">
        <f aca="false">FIND("-",$D12,$E12)</f>
        <v>19</v>
      </c>
      <c r="G12" s="0" t="n">
        <f aca="false">FIND(")",$D12,E12)</f>
        <v>23</v>
      </c>
      <c r="H12" s="0" t="str">
        <f aca="false">MID(D12,F12+1,G12-F12-1)</f>
        <v>10K</v>
      </c>
      <c r="I12" s="2" t="n">
        <f aca="true" t="array" ref="I12:I12">MATCH(TRUE(),ISERROR(VALUE(MID($H12,ROW(INDIRECT("1:"&amp;LEN($H12))),1))),0)</f>
        <v>3</v>
      </c>
      <c r="J12" s="0" t="str">
        <f aca="false">LEFT(D12,E12-2)</f>
        <v>Small city/town</v>
      </c>
      <c r="K12" s="0" t="n">
        <f aca="false">VALUE(MID(D12,E12+1,F12-E12-1))</f>
        <v>5</v>
      </c>
      <c r="L12" s="0" t="n">
        <f aca="false">VALUE(LEFT(H12,I12-1))</f>
        <v>10</v>
      </c>
      <c r="M12" s="0" t="str">
        <f aca="false">MID(H12,I12,1)</f>
        <v>K</v>
      </c>
      <c r="N12" s="0" t="n">
        <f aca="false">VLOOKUP(M12,$I$20:$J$22,2)</f>
        <v>1000</v>
      </c>
      <c r="O12" s="0" t="str">
        <f aca="false">SUBSTITUTE(B12,"0x0","0x")&amp;"00"</f>
        <v>0xb00</v>
      </c>
      <c r="P12" s="0" t="n">
        <f aca="false">K12*$N12</f>
        <v>5000</v>
      </c>
      <c r="Q12" s="0" t="n">
        <f aca="false">L12*$N12</f>
        <v>10000</v>
      </c>
    </row>
    <row r="13" customFormat="false" ht="15" hidden="false" customHeight="false" outlineLevel="0" collapsed="false">
      <c r="A13" s="1" t="s">
        <v>29</v>
      </c>
      <c r="B13" s="0" t="str">
        <f aca="false">MID($A13,10,4)</f>
        <v>0x0c</v>
      </c>
      <c r="C13" s="0" t="str">
        <f aca="false">MID($A13,16,4)</f>
        <v>0x00</v>
      </c>
      <c r="D13" s="0" t="str">
        <f aca="false">MID($A13,47,30)</f>
        <v>Settlement (2-5K)",           </v>
      </c>
      <c r="E13" s="0" t="n">
        <f aca="false">FIND("(",$D13)</f>
        <v>12</v>
      </c>
      <c r="F13" s="0" t="n">
        <f aca="false">FIND("-",$D13,$E13)</f>
        <v>14</v>
      </c>
      <c r="G13" s="0" t="n">
        <f aca="false">FIND(")",$D13,E13)</f>
        <v>17</v>
      </c>
      <c r="H13" s="0" t="str">
        <f aca="false">MID(D13,F13+1,G13-F13-1)</f>
        <v>5K</v>
      </c>
      <c r="I13" s="2" t="n">
        <f aca="true" t="array" ref="I13:I13">MATCH(TRUE(),ISERROR(VALUE(MID($H13,ROW(INDIRECT("1:"&amp;LEN($H13))),1))),0)</f>
        <v>2</v>
      </c>
      <c r="J13" s="0" t="str">
        <f aca="false">LEFT(D13,E13-2)</f>
        <v>Settlement</v>
      </c>
      <c r="K13" s="0" t="n">
        <f aca="false">VALUE(MID(D13,E13+1,F13-E13-1))</f>
        <v>2</v>
      </c>
      <c r="L13" s="0" t="n">
        <f aca="false">VALUE(LEFT(H13,I13-1))</f>
        <v>5</v>
      </c>
      <c r="M13" s="0" t="str">
        <f aca="false">MID(H13,I13,1)</f>
        <v>K</v>
      </c>
      <c r="N13" s="0" t="n">
        <f aca="false">VLOOKUP(M13,$I$20:$J$22,2)</f>
        <v>1000</v>
      </c>
      <c r="O13" s="0" t="str">
        <f aca="false">SUBSTITUTE(B13,"0x0","0x")&amp;"00"</f>
        <v>0xc00</v>
      </c>
      <c r="P13" s="0" t="n">
        <f aca="false">K13*$N13</f>
        <v>2000</v>
      </c>
      <c r="Q13" s="0" t="n">
        <f aca="false">L13*$N13</f>
        <v>5000</v>
      </c>
    </row>
    <row r="14" customFormat="false" ht="15" hidden="false" customHeight="false" outlineLevel="0" collapsed="false">
      <c r="A14" s="1" t="s">
        <v>30</v>
      </c>
      <c r="B14" s="0" t="str">
        <f aca="false">MID($A14,10,4)</f>
        <v>0x0d</v>
      </c>
      <c r="C14" s="0" t="str">
        <f aca="false">MID($A14,16,4)</f>
        <v>0x00</v>
      </c>
      <c r="D14" s="0" t="str">
        <f aca="false">MID($A14,47,30)</f>
        <v>Settlement (1-2K)",           </v>
      </c>
      <c r="E14" s="0" t="n">
        <f aca="false">FIND("(",$D14)</f>
        <v>12</v>
      </c>
      <c r="F14" s="0" t="n">
        <f aca="false">FIND("-",$D14,$E14)</f>
        <v>14</v>
      </c>
      <c r="G14" s="0" t="n">
        <f aca="false">FIND(")",$D14,E14)</f>
        <v>17</v>
      </c>
      <c r="H14" s="0" t="str">
        <f aca="false">MID(D14,F14+1,G14-F14-1)</f>
        <v>2K</v>
      </c>
      <c r="I14" s="2" t="n">
        <f aca="true" t="array" ref="I14:I14">MATCH(TRUE(),ISERROR(VALUE(MID($H14,ROW(INDIRECT("1:"&amp;LEN($H14))),1))),0)</f>
        <v>2</v>
      </c>
      <c r="J14" s="0" t="str">
        <f aca="false">LEFT(D14,E14-2)</f>
        <v>Settlement</v>
      </c>
      <c r="K14" s="0" t="n">
        <f aca="false">VALUE(MID(D14,E14+1,F14-E14-1))</f>
        <v>1</v>
      </c>
      <c r="L14" s="0" t="n">
        <f aca="false">VALUE(LEFT(H14,I14-1))</f>
        <v>2</v>
      </c>
      <c r="M14" s="0" t="str">
        <f aca="false">MID(H14,I14,1)</f>
        <v>K</v>
      </c>
      <c r="N14" s="0" t="n">
        <f aca="false">VLOOKUP(M14,$I$20:$J$22,2)</f>
        <v>1000</v>
      </c>
      <c r="O14" s="0" t="str">
        <f aca="false">SUBSTITUTE(B14,"0x0","0x")&amp;"00"</f>
        <v>0xd00</v>
      </c>
      <c r="P14" s="0" t="n">
        <f aca="false">K14*$N14</f>
        <v>1000</v>
      </c>
      <c r="Q14" s="0" t="n">
        <f aca="false">L14*$N14</f>
        <v>2000</v>
      </c>
    </row>
    <row r="15" customFormat="false" ht="15" hidden="false" customHeight="false" outlineLevel="0" collapsed="false">
      <c r="A15" s="1" t="s">
        <v>31</v>
      </c>
      <c r="B15" s="0" t="str">
        <f aca="false">MID($A15,10,4)</f>
        <v>0x0e</v>
      </c>
      <c r="C15" s="0" t="str">
        <f aca="false">MID($A15,16,4)</f>
        <v>0x00</v>
      </c>
      <c r="D15" s="0" t="str">
        <f aca="false">MID($A15,47,30)</f>
        <v>Settlement (500-1K)",         </v>
      </c>
      <c r="E15" s="0" t="n">
        <f aca="false">FIND("(",$D15)</f>
        <v>12</v>
      </c>
      <c r="F15" s="0" t="n">
        <f aca="false">FIND("-",$D15,$E15)</f>
        <v>16</v>
      </c>
      <c r="G15" s="0" t="n">
        <f aca="false">FIND(")",$D15,E15)</f>
        <v>19</v>
      </c>
      <c r="H15" s="0" t="str">
        <f aca="false">MID(D15,F15+1,G15-F15-1)</f>
        <v>1K</v>
      </c>
      <c r="I15" s="2" t="n">
        <f aca="true" t="array" ref="I15:I15">MATCH(TRUE(),ISERROR(VALUE(MID($H15,ROW(INDIRECT("1:"&amp;LEN($H15))),1))),0)</f>
        <v>2</v>
      </c>
      <c r="J15" s="0" t="str">
        <f aca="false">LEFT(D15,E15-2)</f>
        <v>Settlement</v>
      </c>
      <c r="K15" s="0" t="n">
        <f aca="false">VALUE(MID(D15,E15+1,F15-E15-1))</f>
        <v>500</v>
      </c>
      <c r="L15" s="0" t="n">
        <f aca="false">VALUE(LEFT(H15,I15-1))</f>
        <v>1</v>
      </c>
      <c r="M15" s="0" t="str">
        <f aca="false">MID(H15,I15,1)</f>
        <v>K</v>
      </c>
      <c r="N15" s="0" t="n">
        <f aca="false">VLOOKUP(M15,$I$20:$J$22,2)</f>
        <v>1000</v>
      </c>
      <c r="O15" s="0" t="str">
        <f aca="false">SUBSTITUTE(B15,"0x0","0x")&amp;"00"</f>
        <v>0xe00</v>
      </c>
      <c r="P15" s="3" t="n">
        <v>500</v>
      </c>
      <c r="Q15" s="0" t="n">
        <f aca="false">L15*$N15</f>
        <v>1000</v>
      </c>
    </row>
    <row r="16" customFormat="false" ht="15" hidden="false" customHeight="false" outlineLevel="0" collapsed="false">
      <c r="A16" s="1" t="s">
        <v>32</v>
      </c>
      <c r="B16" s="0" t="str">
        <f aca="false">MID($A16,10,4)</f>
        <v>0x0f</v>
      </c>
      <c r="C16" s="0" t="str">
        <f aca="false">MID($A16,16,4)</f>
        <v>0x00</v>
      </c>
      <c r="D16" s="0" t="str">
        <f aca="false">MID($A16,47,30)</f>
        <v>Settlement (200-500)",        </v>
      </c>
      <c r="E16" s="0" t="n">
        <f aca="false">FIND("(",$D16)</f>
        <v>12</v>
      </c>
      <c r="F16" s="0" t="n">
        <f aca="false">FIND("-",$D16,$E16)</f>
        <v>16</v>
      </c>
      <c r="G16" s="0" t="n">
        <f aca="false">FIND(")",$D16,E16)</f>
        <v>20</v>
      </c>
      <c r="H16" s="0" t="str">
        <f aca="false">MID(D16,F16+1,G16-F16-1)</f>
        <v>500</v>
      </c>
      <c r="I16" s="2" t="e">
        <f aca="true" t="array" ref="I16:I16">MATCH(TRUE(),ISERROR(VALUE(MID($H16,ROW(INDIRECT("1:"&amp;LEN($H16))),1))),0)</f>
        <v>#N/A</v>
      </c>
      <c r="J16" s="0" t="str">
        <f aca="false">LEFT(D16,E16-2)</f>
        <v>Settlement</v>
      </c>
      <c r="K16" s="0" t="n">
        <f aca="false">VALUE(MID(D16,E16+1,F16-E16-1))</f>
        <v>200</v>
      </c>
      <c r="L16" s="3" t="n">
        <f aca="false">VALUE(H16)</f>
        <v>500</v>
      </c>
      <c r="M16" s="0" t="n">
        <v>1</v>
      </c>
      <c r="N16" s="0" t="n">
        <f aca="false">VLOOKUP(M16,$I$20:$J$22,2)</f>
        <v>1</v>
      </c>
      <c r="O16" s="0" t="str">
        <f aca="false">SUBSTITUTE(B16,"0x0","0x")&amp;"00"</f>
        <v>0xf00</v>
      </c>
      <c r="P16" s="0" t="n">
        <f aca="false">K16*$N16</f>
        <v>200</v>
      </c>
      <c r="Q16" s="0" t="n">
        <f aca="false">L16*$N16</f>
        <v>500</v>
      </c>
    </row>
    <row r="17" customFormat="false" ht="15" hidden="false" customHeight="false" outlineLevel="0" collapsed="false">
      <c r="A17" s="1" t="s">
        <v>33</v>
      </c>
      <c r="B17" s="0" t="str">
        <f aca="false">MID($A17,10,4)</f>
        <v>0x10</v>
      </c>
      <c r="C17" s="0" t="str">
        <f aca="false">MID($A17,16,4)</f>
        <v>0x00</v>
      </c>
      <c r="D17" s="0" t="str">
        <f aca="false">MID($A17,47,30)</f>
        <v>Settlement (100-200)",        </v>
      </c>
      <c r="E17" s="0" t="n">
        <f aca="false">FIND("(",$D17)</f>
        <v>12</v>
      </c>
      <c r="F17" s="0" t="n">
        <f aca="false">FIND("-",$D17,$E17)</f>
        <v>16</v>
      </c>
      <c r="G17" s="0" t="n">
        <f aca="false">FIND(")",$D17,E17)</f>
        <v>20</v>
      </c>
      <c r="H17" s="0" t="str">
        <f aca="false">MID(D17,F17+1,G17-F17-1)</f>
        <v>200</v>
      </c>
      <c r="I17" s="2" t="e">
        <f aca="true" t="array" ref="I17:I17">MATCH(TRUE(),ISERROR(VALUE(MID($H17,ROW(INDIRECT("1:"&amp;LEN($H17))),1))),0)</f>
        <v>#N/A</v>
      </c>
      <c r="J17" s="0" t="str">
        <f aca="false">LEFT(D17,E17-2)</f>
        <v>Settlement</v>
      </c>
      <c r="K17" s="0" t="n">
        <f aca="false">VALUE(MID(D17,E17+1,F17-E17-1))</f>
        <v>100</v>
      </c>
      <c r="L17" s="3" t="n">
        <f aca="false">VALUE(H17)</f>
        <v>200</v>
      </c>
      <c r="M17" s="0" t="n">
        <v>1</v>
      </c>
      <c r="N17" s="0" t="n">
        <f aca="false">VLOOKUP(M17,$I$20:$J$22,2)</f>
        <v>1</v>
      </c>
      <c r="O17" s="0" t="str">
        <f aca="false">SUBSTITUTE(B17,"0x0","0x")&amp;"00"</f>
        <v>0x1000</v>
      </c>
      <c r="P17" s="0" t="n">
        <f aca="false">K17*$N17</f>
        <v>100</v>
      </c>
      <c r="Q17" s="0" t="n">
        <f aca="false">L17*$N17</f>
        <v>200</v>
      </c>
    </row>
    <row r="18" customFormat="false" ht="15" hidden="false" customHeight="false" outlineLevel="0" collapsed="false">
      <c r="A18" s="1" t="s">
        <v>34</v>
      </c>
      <c r="B18" s="0" t="str">
        <f aca="false">MID($A18,10,4)</f>
        <v>0x11</v>
      </c>
      <c r="C18" s="0" t="str">
        <f aca="false">MID($A18,16,4)</f>
        <v>0x00</v>
      </c>
      <c r="D18" s="0" t="str">
        <f aca="false">MID($A18,47,30)</f>
        <v>Settlement (less 100)",       </v>
      </c>
      <c r="E18" s="0" t="n">
        <f aca="false">FIND("(",$D18)</f>
        <v>12</v>
      </c>
      <c r="F18" s="0" t="e">
        <f aca="false">FIND("-",$D18,$E18)</f>
        <v>#VALUE!</v>
      </c>
      <c r="G18" s="0" t="n">
        <f aca="false">FIND(")",$D18,E18)</f>
        <v>21</v>
      </c>
      <c r="H18" s="0" t="e">
        <f aca="false">MID(D18,F18+1,G18-F18-1)</f>
        <v>#VALUE!</v>
      </c>
      <c r="I18" s="2" t="e">
        <f aca="true" t="array" ref="I18:I18">MATCH(TRUE(),ISERROR(VALUE(MID($H18,ROW(INDIRECT("1:"&amp;LEN($H18))),1))),0)</f>
        <v>#VALUE!</v>
      </c>
      <c r="J18" s="0" t="str">
        <f aca="false">LEFT(D18,E18-2)</f>
        <v>Settlement</v>
      </c>
      <c r="K18" s="3" t="n">
        <v>0</v>
      </c>
      <c r="L18" s="3" t="n">
        <v>100</v>
      </c>
      <c r="M18" s="0" t="n">
        <v>1</v>
      </c>
      <c r="N18" s="0" t="n">
        <f aca="false">VLOOKUP(M18,$I$20:$J$22,2)</f>
        <v>1</v>
      </c>
      <c r="O18" s="0" t="str">
        <f aca="false">SUBSTITUTE(B18,"0x0","0x")&amp;"00"</f>
        <v>0x1100</v>
      </c>
      <c r="P18" s="0" t="n">
        <f aca="false">K18*$N18</f>
        <v>0</v>
      </c>
      <c r="Q18" s="0" t="n">
        <f aca="false">L18*$N18</f>
        <v>100</v>
      </c>
    </row>
    <row r="20" customFormat="false" ht="15" hidden="false" customHeight="false" outlineLevel="0" collapsed="false">
      <c r="A20" s="0" t="s">
        <v>35</v>
      </c>
      <c r="I20" s="0" t="s">
        <v>36</v>
      </c>
      <c r="J20" s="0" t="n">
        <v>1000</v>
      </c>
    </row>
    <row r="21" customFormat="false" ht="15" hidden="false" customHeight="false" outlineLevel="0" collapsed="false">
      <c r="I21" s="0" t="s">
        <v>18</v>
      </c>
      <c r="J21" s="0" t="n">
        <v>1000000</v>
      </c>
    </row>
    <row r="22" customFormat="false" ht="15" hidden="false" customHeight="false" outlineLevel="0" collapsed="false">
      <c r="I22" s="0" t="n">
        <v>1</v>
      </c>
      <c r="J2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  <Company>University of Canterbury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2024-09-17T06:40:09Z</dcterms:created>
  <dc:creator>Gary Turner</dc:creator>
  <dc:description/>
  <dc:language>en-NZ</dc:language>
  <cp:lastModifiedBy/>
  <dcterms:modified xsi:type="dcterms:W3CDTF">2026-04-18T12:57:21Z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